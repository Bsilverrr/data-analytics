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obot\Downloads\"/>
    </mc:Choice>
  </mc:AlternateContent>
  <xr:revisionPtr revIDLastSave="0" documentId="13_ncr:1_{58E62AC4-BE26-4641-9890-A4A4C7BF47F3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Sheet1" sheetId="1" r:id="rId1"/>
    <sheet name="Sheet2" sheetId="2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1" i="1" l="1" a="1"/>
  <c r="K11" i="1" s="1"/>
  <c r="K7" i="1"/>
  <c r="H7" i="1"/>
  <c r="I8" i="1"/>
  <c r="I7" i="1"/>
  <c r="D7" i="1"/>
  <c r="D2" i="1"/>
  <c r="D3" i="1"/>
  <c r="D4" i="1"/>
  <c r="D5" i="1"/>
  <c r="D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<sst xmlns="http://schemas.openxmlformats.org/spreadsheetml/2006/main" count="57" uniqueCount="42">
  <si>
    <t>ID</t>
  </si>
  <si>
    <t>Start time</t>
  </si>
  <si>
    <t>Completion time</t>
  </si>
  <si>
    <t>Email</t>
  </si>
  <si>
    <t>Name</t>
  </si>
  <si>
    <t>Last modified time</t>
  </si>
  <si>
    <t xml:space="preserve">How often do you visit GrilledUp BBQ?
</t>
  </si>
  <si>
    <t>How did you order today?</t>
  </si>
  <si>
    <t>How would you rate the food on this visit? (Rating 1–5)</t>
  </si>
  <si>
    <t>Did your order come out in a reasonable amount of time?</t>
  </si>
  <si>
    <t>If we started a rewards program, which perks would actually bring you back more often? Pick up to two.</t>
  </si>
  <si>
    <t>What’s one thing we could do better?</t>
  </si>
  <si>
    <t>If you’d like us to follow up about your feedback or let you know when rewards launch, leave your email. (Optional)</t>
  </si>
  <si>
    <t>anonymous</t>
  </si>
  <si>
    <t>First time</t>
  </si>
  <si>
    <t>Takeout</t>
  </si>
  <si>
    <t>3;1;2;4;5;</t>
  </si>
  <si>
    <t>About what I expected</t>
  </si>
  <si>
    <t>Free item after a set number of visits;A discount during weekday lunch hours;</t>
  </si>
  <si>
    <t>The fries tasted kind of bland while I was eating it</t>
  </si>
  <si>
    <t>About once a month</t>
  </si>
  <si>
    <t>A discount during weekday lunch hours;Free item after a set number of visits;</t>
  </si>
  <si>
    <t xml:space="preserve">Food coming out cold </t>
  </si>
  <si>
    <t>Dine in</t>
  </si>
  <si>
    <t>5;4;3;2;1;</t>
  </si>
  <si>
    <t>Early access to new menu items and specials;A discount during weekday lunch hours;Percentage off your whole order;Free item on your birthday;Free item after a set number of visits;</t>
  </si>
  <si>
    <t>I tried to order online before I made my way in. The website is a little janky, but the food and service is immaculate. THE TENDERISM!</t>
  </si>
  <si>
    <t>123thisBmyE@aol.com</t>
  </si>
  <si>
    <t>Delivery</t>
  </si>
  <si>
    <t>1;2;3;4;5;</t>
  </si>
  <si>
    <t>Faster than expected</t>
  </si>
  <si>
    <t>Free item on your birthday;Percentage off your whole order;</t>
  </si>
  <si>
    <t>You can add a drink menu to the website</t>
  </si>
  <si>
    <t>2;1;3;4;5;</t>
  </si>
  <si>
    <t>A little slow</t>
  </si>
  <si>
    <t>Free item on your birthday;A discount during weekday lunch hours;</t>
  </si>
  <si>
    <t>Bring out the food faster</t>
  </si>
  <si>
    <t>This may not be optional :(</t>
  </si>
  <si>
    <t>Time to complete</t>
  </si>
  <si>
    <t>Row Labels</t>
  </si>
  <si>
    <t>Grand Total</t>
  </si>
  <si>
    <t>Count of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</si>
</sst>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:ss"/>
    <numFmt numFmtId="166" formatCode="mm/dd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4" fontId="0" fillId="0" borderId="0" xfId="0" applyNumberFormat="1"/>
    <xf numFmtId="0" fontId="0" fillId="0" borderId="0" xfId="0" applyNumberFormat="1"/>
    <xf numFmtId="166" fontId="0" fillId="0" borderId="0" xfId="0" applyNumberFormat="1"/>
    <xf numFmtId="4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28" formatCode="mm:ss"/>
    </dxf>
    <dxf>
      <numFmt numFmtId="166" formatCode="mm/dd/yyyy\ hh:mm:ss"/>
    </dxf>
    <dxf>
      <numFmt numFmtId="166" formatCode="mm/dd/yyyy\ hh:mm:ss"/>
    </dxf>
    <dxf>
      <numFmt numFmtId="0" formatCode="General"/>
    </dxf>
    <dxf>
      <numFmt numFmtId="28" formatCode="mm:ss"/>
    </dxf>
    <dxf>
      <numFmt numFmtId="166" formatCode="mm/dd/yyyy\ hh:mm:ss"/>
    </dxf>
    <dxf>
      <numFmt numFmtId="166" formatCode="mm/dd/yyyy\ h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[GrilledUp BBQ (1-5).xlsx]Sheet2!PivotTable1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Customers</a:t>
            </a:r>
            <a:r>
              <a:rPr lang="en-US" baseline="0"/>
              <a:t> Ordered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cat>
            <c:strRef>
              <c:f>Sheet2!$A$2:$A$5</c:f>
              <c:strCache>
                <c:ptCount val="3"/>
                <c:pt idx="0">
                  <c:v>Delivery</c:v>
                </c:pt>
                <c:pt idx="1">
                  <c:v>Dine in</c:v>
                </c:pt>
                <c:pt idx="2">
                  <c:v>Takeout</c:v>
                </c:pt>
              </c:strCache>
            </c:strRef>
          </c:cat>
          <c:val>
            <c:numRef>
              <c:f>Sheet2!$B$2:$B$5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0C-47C2-9EEF-C853B5707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9A2119-7800-2716-D9BE-F1CE2B10F8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é Cerda" refreshedDate="46314.365984837961" createdVersion="8" refreshedVersion="8" minRefreshableVersion="3" recordCount="5" xr:uid="{D38A62E6-06E5-45B1-A041-49DAB7F9FE1A}">
  <cacheSource type="worksheet">
    <worksheetSource name="Table1"/>
  </cacheSource>
  <cacheFields count="14">
    <cacheField name="ID" numFmtId="0">
      <sharedItems containsSemiMixedTypes="0" containsString="0" containsNumber="1" containsInteger="1" minValue="1" maxValue="5"/>
    </cacheField>
    <cacheField name="Start time" numFmtId="166">
      <sharedItems containsSemiMixedTypes="0" containsNonDate="0" containsDate="1" containsString="0" minDate="2026-10-14T20:50:30" maxDate="2026-10-16T16:33:44"/>
    </cacheField>
    <cacheField name="Completion time" numFmtId="166">
      <sharedItems containsSemiMixedTypes="0" containsNonDate="0" containsDate="1" containsString="0" minDate="2026-10-14T20:52:07" maxDate="2026-10-16T16:36:18"/>
    </cacheField>
    <cacheField name="Time to complete" numFmtId="45">
      <sharedItems containsSemiMixedTypes="0" containsNonDate="0" containsDate="1" containsString="0" minDate="1899-12-30T00:01:37" maxDate="1899-12-30T00:04:35"/>
    </cacheField>
    <cacheField name="Email" numFmtId="0">
      <sharedItems/>
    </cacheField>
    <cacheField name="Name" numFmtId="0">
      <sharedItems containsNonDate="0" containsString="0" containsBlank="1"/>
    </cacheField>
    <cacheField name="Last modified time" numFmtId="164">
      <sharedItems containsNonDate="0" containsString="0" containsBlank="1"/>
    </cacheField>
    <cacheField name="How often do you visit GrilledUp BBQ?_x000a_" numFmtId="0">
      <sharedItems/>
    </cacheField>
    <cacheField name="How did you order today?" numFmtId="0">
      <sharedItems count="3">
        <s v="Takeout"/>
        <s v="Dine in"/>
        <s v="Delivery"/>
      </sharedItems>
    </cacheField>
    <cacheField name="How would you rate the food on this visit? (Rating 1–5)" numFmtId="0">
      <sharedItems/>
    </cacheField>
    <cacheField name="Did your order come out in a reasonable amount of time?" numFmtId="0">
      <sharedItems/>
    </cacheField>
    <cacheField name="If we started a rewards program, which perks would actually bring you back more often? Pick up to two." numFmtId="0">
      <sharedItems/>
    </cacheField>
    <cacheField name="What’s one thing we could do better?" numFmtId="0">
      <sharedItems/>
    </cacheField>
    <cacheField name="If you’d like us to follow up about your feedback or let you know when rewards launch, leave your email. (Optional)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d v="2026-10-14T20:50:30"/>
    <d v="2026-10-14T20:52:07"/>
    <d v="1899-12-30T00:01:37"/>
    <s v="anonymous"/>
    <m/>
    <m/>
    <s v="First time"/>
    <x v="0"/>
    <s v="3;1;2;4;5;"/>
    <s v="About what I expected"/>
    <s v="Free item after a set number of visits;A discount during weekday lunch hours;"/>
    <s v="The fries tasted kind of bland while I was eating it"/>
    <m/>
  </r>
  <r>
    <n v="2"/>
    <d v="2026-10-15T14:26:59"/>
    <d v="2026-10-15T14:29:15"/>
    <d v="1899-12-30T00:02:16"/>
    <s v="anonymous"/>
    <m/>
    <m/>
    <s v="About once a month"/>
    <x v="0"/>
    <s v="3;1;2;4;5;"/>
    <s v="About what I expected"/>
    <s v="A discount during weekday lunch hours;Free item after a set number of visits;"/>
    <s v="Food coming out cold "/>
    <m/>
  </r>
  <r>
    <n v="3"/>
    <d v="2026-10-15T14:40:23"/>
    <d v="2026-10-15T14:44:58"/>
    <d v="1899-12-30T00:04:35"/>
    <s v="anonymous"/>
    <m/>
    <m/>
    <s v="First time"/>
    <x v="1"/>
    <s v="5;4;3;2;1;"/>
    <s v="About what I expected"/>
    <s v="Early access to new menu items and specials;A discount during weekday lunch hours;Percentage off your whole order;Free item on your birthday;Free item after a set number of visits;"/>
    <s v="I tried to order online before I made my way in. The website is a little janky, but the food and service is immaculate. THE TENDERISM!"/>
    <s v="123thisBmyE@aol.com"/>
  </r>
  <r>
    <n v="4"/>
    <d v="2026-10-16T13:23:33"/>
    <d v="2026-10-16T13:26:14"/>
    <d v="1899-12-30T00:02:41"/>
    <s v="anonymous"/>
    <m/>
    <m/>
    <s v="First time"/>
    <x v="2"/>
    <s v="1;2;3;4;5;"/>
    <s v="Faster than expected"/>
    <s v="Free item on your birthday;Percentage off your whole order;"/>
    <s v="You can add a drink menu to the website"/>
    <m/>
  </r>
  <r>
    <n v="5"/>
    <d v="2026-10-16T16:33:44"/>
    <d v="2026-10-16T16:36:18"/>
    <d v="1899-12-30T00:02:34"/>
    <s v="anonymous"/>
    <m/>
    <m/>
    <s v="First time"/>
    <x v="1"/>
    <s v="2;1;3;4;5;"/>
    <s v="A little slow"/>
    <s v="Free item on your birthday;A discount during weekday lunch hours;"/>
    <s v="Bring out the food faster"/>
    <s v="This may not be optional :(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4B07F5-B4E2-475D-9477-AC9D58D5B98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5" firstHeaderRow="1" firstDataRow="1" firstDataCol="1"/>
  <pivotFields count="14">
    <pivotField dataField="1" showAll="0"/>
    <pivotField numFmtId="166" showAll="0"/>
    <pivotField numFmtId="166" showAll="0"/>
    <pivotField numFmtId="45"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D" fld="0" subtotal="count" baseField="8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7" totalsRowCount="1">
  <autoFilter ref="A1:N6" xr:uid="{00000000-0009-0000-0100-000001000000}"/>
  <tableColumns count="14">
    <tableColumn id="1" xr3:uid="{00000000-0010-0000-0000-000001000000}" name="ID" dataDxfId="17" totalsRowDxfId="13"/>
    <tableColumn id="2" xr3:uid="{00000000-0010-0000-0000-000002000000}" name="Start time" dataDxfId="16" totalsRowDxfId="12"/>
    <tableColumn id="3" xr3:uid="{00000000-0010-0000-0000-000003000000}" name="Completion time" dataDxfId="15" totalsRowDxfId="11"/>
    <tableColumn id="14" xr3:uid="{2D77D799-4EEF-432F-B68F-102EE208E78B}" name="Time to complete" totalsRowFunction="custom" dataDxfId="14" totalsRowDxfId="10">
      <calculatedColumnFormula>C2-B2</calculatedColumnFormula>
      <totalsRowFormula>AVERAGE(D2:D6)</totalsRowFormula>
    </tableColumn>
    <tableColumn id="4" xr3:uid="{00000000-0010-0000-0000-000004000000}" name="Email" dataDxfId="27" totalsRowDxfId="9"/>
    <tableColumn id="5" xr3:uid="{00000000-0010-0000-0000-000005000000}" name="Name" dataDxfId="26" totalsRowDxfId="8"/>
    <tableColumn id="6" xr3:uid="{00000000-0010-0000-0000-000006000000}" name="Last modified time" dataDxfId="25" totalsRowDxfId="7"/>
    <tableColumn id="7" xr3:uid="{00000000-0010-0000-0000-000007000000}" name="How often do you visit GrilledUp BBQ?_x000a_" totalsRowFunction="custom" dataDxfId="24" totalsRowDxfId="6">
      <totalsRowFormula>COUNTIF(H2:H6,"First time")</totalsRowFormula>
    </tableColumn>
    <tableColumn id="8" xr3:uid="{00000000-0010-0000-0000-000008000000}" name="How did you order today?" totalsRowFunction="custom" dataDxfId="23" totalsRowDxfId="5">
      <totalsRowFormula>COUNTIF(I2:I6,"Takeout")</totalsRowFormula>
    </tableColumn>
    <tableColumn id="9" xr3:uid="{00000000-0010-0000-0000-000009000000}" name="How would you rate the food on this visit? (Rating 1–5)" dataDxfId="22" totalsRowDxfId="4"/>
    <tableColumn id="10" xr3:uid="{00000000-0010-0000-0000-00000A000000}" name="Did your order come out in a reasonable amount of time?" totalsRowFunction="custom" dataDxfId="21" totalsRowDxfId="3">
      <totalsRowFormula>COUNTIF(K2:K6,"About what I expected")</totalsRowFormula>
    </tableColumn>
    <tableColumn id="11" xr3:uid="{00000000-0010-0000-0000-00000B000000}" name="If we started a rewards program, which perks would actually bring you back more often? Pick up to two." dataDxfId="20" totalsRowDxfId="2"/>
    <tableColumn id="12" xr3:uid="{00000000-0010-0000-0000-00000C000000}" name="What’s one thing we could do better?" dataDxfId="19" totalsRowDxfId="1"/>
    <tableColumn id="13" xr3:uid="{00000000-0010-0000-0000-00000D000000}" name="If you’d like us to follow up about your feedback or let you know when rewards launch, leave your email. (Optional)" dataDxfId="18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workbookViewId="0">
      <selection activeCell="I6" sqref="I6"/>
    </sheetView>
  </sheetViews>
  <sheetFormatPr defaultRowHeight="15" x14ac:dyDescent="0.25"/>
  <cols>
    <col min="1" max="1" width="20" bestFit="1" customWidth="1"/>
    <col min="2" max="3" width="20" style="4" bestFit="1" customWidth="1"/>
    <col min="4" max="4" width="20" style="5" customWidth="1"/>
    <col min="5" max="14" width="20" bestFit="1" customWidth="1"/>
  </cols>
  <sheetData>
    <row r="1" spans="1:14" x14ac:dyDescent="0.25">
      <c r="A1" s="3" t="s">
        <v>0</v>
      </c>
      <c r="B1" s="4" t="s">
        <v>1</v>
      </c>
      <c r="C1" s="4" t="s">
        <v>2</v>
      </c>
      <c r="D1" s="5" t="s">
        <v>38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25">
      <c r="A2">
        <v>1</v>
      </c>
      <c r="B2" s="4">
        <v>46309.868402777778</v>
      </c>
      <c r="C2" s="4">
        <v>46309.869525462964</v>
      </c>
      <c r="D2" s="5">
        <f t="shared" ref="D2:D6" si="0">C2-B2</f>
        <v>1.1226851856918074E-3</v>
      </c>
      <c r="E2" s="3" t="s">
        <v>13</v>
      </c>
      <c r="F2" s="3"/>
      <c r="G2" s="1"/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  <c r="N2" s="3"/>
    </row>
    <row r="3" spans="1:14" x14ac:dyDescent="0.25">
      <c r="A3">
        <v>2</v>
      </c>
      <c r="B3" s="4">
        <v>46310.602071759262</v>
      </c>
      <c r="C3" s="4">
        <v>46310.603645833333</v>
      </c>
      <c r="D3" s="5">
        <f t="shared" si="0"/>
        <v>1.5740740709588863E-3</v>
      </c>
      <c r="E3" s="3" t="s">
        <v>13</v>
      </c>
      <c r="F3" s="3"/>
      <c r="G3" s="1"/>
      <c r="H3" s="3" t="s">
        <v>20</v>
      </c>
      <c r="I3" s="3" t="s">
        <v>15</v>
      </c>
      <c r="J3" s="3" t="s">
        <v>16</v>
      </c>
      <c r="K3" s="3" t="s">
        <v>17</v>
      </c>
      <c r="L3" s="3" t="s">
        <v>21</v>
      </c>
      <c r="M3" s="3" t="s">
        <v>22</v>
      </c>
      <c r="N3" s="3"/>
    </row>
    <row r="4" spans="1:14" x14ac:dyDescent="0.25">
      <c r="A4">
        <v>3</v>
      </c>
      <c r="B4" s="4">
        <v>46310.611377314817</v>
      </c>
      <c r="C4" s="4">
        <v>46310.614560185182</v>
      </c>
      <c r="D4" s="5">
        <f t="shared" si="0"/>
        <v>3.1828703649807721E-3</v>
      </c>
      <c r="E4" s="3" t="s">
        <v>13</v>
      </c>
      <c r="F4" s="3"/>
      <c r="G4" s="1"/>
      <c r="H4" s="3" t="s">
        <v>14</v>
      </c>
      <c r="I4" s="3" t="s">
        <v>23</v>
      </c>
      <c r="J4" s="3" t="s">
        <v>24</v>
      </c>
      <c r="K4" s="3" t="s">
        <v>17</v>
      </c>
      <c r="L4" s="3" t="s">
        <v>25</v>
      </c>
      <c r="M4" s="3" t="s">
        <v>26</v>
      </c>
      <c r="N4" s="3" t="s">
        <v>27</v>
      </c>
    </row>
    <row r="5" spans="1:14" x14ac:dyDescent="0.25">
      <c r="A5">
        <v>4</v>
      </c>
      <c r="B5" s="4">
        <v>46311.558020833334</v>
      </c>
      <c r="C5" s="4">
        <v>46311.559884259259</v>
      </c>
      <c r="D5" s="5">
        <f t="shared" si="0"/>
        <v>1.8634259249665774E-3</v>
      </c>
      <c r="E5" s="3" t="s">
        <v>13</v>
      </c>
      <c r="F5" s="3"/>
      <c r="G5" s="1"/>
      <c r="H5" s="3" t="s">
        <v>14</v>
      </c>
      <c r="I5" s="3" t="s">
        <v>28</v>
      </c>
      <c r="J5" s="3" t="s">
        <v>29</v>
      </c>
      <c r="K5" s="3" t="s">
        <v>30</v>
      </c>
      <c r="L5" s="3" t="s">
        <v>31</v>
      </c>
      <c r="M5" s="3" t="s">
        <v>32</v>
      </c>
      <c r="N5" s="3"/>
    </row>
    <row r="6" spans="1:14" x14ac:dyDescent="0.25">
      <c r="A6">
        <v>5</v>
      </c>
      <c r="B6" s="4">
        <v>46311.690092592595</v>
      </c>
      <c r="C6" s="4">
        <v>46311.691874999997</v>
      </c>
      <c r="D6" s="5">
        <f t="shared" si="0"/>
        <v>1.782407402060926E-3</v>
      </c>
      <c r="E6" s="3" t="s">
        <v>13</v>
      </c>
      <c r="F6" s="3"/>
      <c r="G6" s="1"/>
      <c r="H6" s="3" t="s">
        <v>14</v>
      </c>
      <c r="I6" s="3" t="s">
        <v>23</v>
      </c>
      <c r="J6" s="3" t="s">
        <v>33</v>
      </c>
      <c r="K6" s="3" t="s">
        <v>34</v>
      </c>
      <c r="L6" s="3" t="s">
        <v>35</v>
      </c>
      <c r="M6" s="3" t="s">
        <v>36</v>
      </c>
      <c r="N6" s="3" t="s">
        <v>37</v>
      </c>
    </row>
    <row r="7" spans="1:14" x14ac:dyDescent="0.25">
      <c r="A7" s="3"/>
      <c r="D7" s="5">
        <f>AVERAGE(D2:D6)</f>
        <v>1.9050925897317939E-3</v>
      </c>
      <c r="E7" s="3"/>
      <c r="F7" s="3"/>
      <c r="G7" s="2"/>
      <c r="H7" s="3">
        <f>COUNTIF(H2:H6,"First time")</f>
        <v>4</v>
      </c>
      <c r="I7" s="3">
        <f>COUNTIF(I2:I6,"Takeout")</f>
        <v>2</v>
      </c>
      <c r="J7" s="3"/>
      <c r="K7" s="3">
        <f>COUNTIF(K2:K6,"About what I expected")</f>
        <v>3</v>
      </c>
      <c r="L7" s="3"/>
      <c r="M7" s="3"/>
      <c r="N7" s="3"/>
    </row>
    <row r="8" spans="1:14" x14ac:dyDescent="0.25">
      <c r="I8">
        <f>SUM(COUNTIF(I2:I6,"Dine in"),COUNTIF(I2:I6,"Delivery"))</f>
        <v>3</v>
      </c>
    </row>
    <row r="11" spans="1:14" x14ac:dyDescent="0.25">
      <c r="K11" cm="1">
        <f t="array" ref="K11">AVERAGE(_xlfn.SWITCH(K2:K6,"A little slow",1,"About what I expected",2,"Faster than expected",3))</f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1C3D-242C-49E3-9191-358E5B68B0CF}">
  <dimension ref="A1:B5"/>
  <sheetViews>
    <sheetView tabSelected="1" workbookViewId="0">
      <selection activeCell="G23" sqref="G23"/>
    </sheetView>
  </sheetViews>
  <sheetFormatPr defaultRowHeight="15" x14ac:dyDescent="0.25"/>
  <cols>
    <col min="1" max="1" width="13.140625" bestFit="1" customWidth="1"/>
    <col min="2" max="2" width="10.85546875" bestFit="1" customWidth="1"/>
  </cols>
  <sheetData>
    <row r="1" spans="1:2" x14ac:dyDescent="0.25">
      <c r="A1" s="6" t="s">
        <v>39</v>
      </c>
      <c r="B1" t="s">
        <v>41</v>
      </c>
    </row>
    <row r="2" spans="1:2" x14ac:dyDescent="0.25">
      <c r="A2" s="7" t="s">
        <v>28</v>
      </c>
      <c r="B2" s="3">
        <v>1</v>
      </c>
    </row>
    <row r="3" spans="1:2" x14ac:dyDescent="0.25">
      <c r="A3" s="7" t="s">
        <v>23</v>
      </c>
      <c r="B3" s="3">
        <v>2</v>
      </c>
    </row>
    <row r="4" spans="1:2" x14ac:dyDescent="0.25">
      <c r="A4" s="7" t="s">
        <v>15</v>
      </c>
      <c r="B4" s="3">
        <v>2</v>
      </c>
    </row>
    <row r="5" spans="1:2" x14ac:dyDescent="0.25">
      <c r="A5" s="7" t="s">
        <v>40</v>
      </c>
      <c r="B5" s="3">
        <v>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Cerda</cp:lastModifiedBy>
  <dcterms:created xsi:type="dcterms:W3CDTF">2026-10-19T06:25:03Z</dcterms:created>
  <dcterms:modified xsi:type="dcterms:W3CDTF">2026-10-19T12:53:36Z</dcterms:modified>
</cp:coreProperties>
</file>