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5553D7AC-00AA-49B9-95EA-CB979BE13619}" xr6:coauthVersionLast="47" xr6:coauthVersionMax="47" xr10:uidLastSave="{00000000-0000-0000-0000-000000000000}"/>
  <bookViews>
    <workbookView xWindow="14295" yWindow="0" windowWidth="14610" windowHeight="15585" firstSheet="1" activeTab="2" xr2:uid="{119180CD-DAC7-4E42-802D-4EB98E4641EC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<sst xmlns="http://schemas.openxmlformats.org/spreadsheetml/2006/main" count="154" uniqueCount="68">
  <si>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RegionID</t>
  </si>
  <si>
    <t>Region</t>
  </si>
  <si>
    <t>Hamburger</t>
  </si>
  <si>
    <t>Milkshake</t>
  </si>
  <si>
    <t>Breakup</t>
  </si>
  <si>
    <t xml:space="preserve"># of regions 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</si>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</sst>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0.68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5-4912-9BBE-5C45DFB98274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0.19</c:v>
                </c:pt>
                <c:pt idx="1">
                  <c:v>0.21</c:v>
                </c:pt>
                <c:pt idx="2">
                  <c:v>0.18</c:v>
                </c:pt>
                <c:pt idx="3">
                  <c:v>0.15</c:v>
                </c:pt>
                <c:pt idx="4">
                  <c:v>0.19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5-4912-9BBE-5C45DFB9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52511"/>
        <c:axId val="1818613615"/>
      </c:barChart>
      <c:catAx>
        <c:axId val="182015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613615"/>
        <c:crosses val="autoZero"/>
        <c:auto val="1"/>
        <c:lblAlgn val="ctr"/>
        <c:lblOffset val="100"/>
        <c:noMultiLvlLbl val="0"/>
      </c:catAx>
      <c:valAx>
        <c:axId val="18186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5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61912</xdr:rowOff>
    </xdr:from>
    <xdr:to>
      <xdr:col>10</xdr:col>
      <xdr:colOff>523875</xdr:colOff>
      <xdr:row>25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0CC88-19B6-B224-086A-FF006E493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erda" refreshedDate="46310.975767939817" createdVersion="8" refreshedVersion="8" minRefreshableVersion="3" recordCount="10" xr:uid="{1A57056E-BDB7-4C30-8198-B41DF3BFC2F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8"/>
    <n v="0.19"/>
  </r>
  <r>
    <x v="3"/>
    <x v="0"/>
    <n v="0.73"/>
    <n v="0.15"/>
  </r>
  <r>
    <x v="4"/>
    <x v="1"/>
    <n v="0.69"/>
    <n v="0.19"/>
  </r>
  <r>
    <x v="5"/>
    <x v="1"/>
    <n v="0.75"/>
    <n v="0.14000000000000001"/>
  </r>
  <r>
    <x v="6"/>
    <x v="1"/>
    <n v="0.69"/>
    <n v="0.19"/>
  </r>
  <r>
    <x v="7"/>
    <x v="1"/>
    <n v="0.68"/>
    <n v="0.18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050F6-859D-4D78-994F-90DEA18A26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840B-D7CB-46DD-ABF1-E2CBF72A9C73}">
  <dimension ref="A1:K52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2" max="2" width="21.85546875" bestFit="1" customWidth="1"/>
    <col min="3" max="3" width="13" bestFit="1" customWidth="1"/>
    <col min="4" max="4" width="12" bestFit="1" customWidth="1"/>
    <col min="5" max="5" width="10.5703125" bestFit="1" customWidth="1"/>
    <col min="7" max="7" width="11.5703125" bestFit="1" customWidth="1"/>
    <col min="10" max="10" width="10.1406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 x14ac:dyDescent="0.25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10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11</v>
      </c>
      <c r="C5" s="1">
        <v>0.69</v>
      </c>
      <c r="D5" s="1">
        <v>0.2</v>
      </c>
      <c r="E5" s="1">
        <v>0.11</v>
      </c>
    </row>
    <row r="6" spans="1:11" x14ac:dyDescent="0.25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14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16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17</v>
      </c>
      <c r="C11" s="1">
        <v>0.63</v>
      </c>
      <c r="D11" s="1">
        <v>0.22</v>
      </c>
      <c r="E11" s="1">
        <v>0.15</v>
      </c>
    </row>
    <row r="12" spans="1:11" x14ac:dyDescent="0.25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0.68</v>
      </c>
      <c r="D14" s="1">
        <v>0.19</v>
      </c>
      <c r="E14" s="1">
        <v>0.13</v>
      </c>
    </row>
    <row r="15" spans="1:11" x14ac:dyDescent="0.25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 x14ac:dyDescent="0.25">
      <c r="A16">
        <v>15</v>
      </c>
      <c r="B16" t="s">
        <v>22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24</v>
      </c>
      <c r="C18" s="1">
        <v>0.69</v>
      </c>
      <c r="D18" s="1">
        <v>0.17</v>
      </c>
      <c r="E18" s="1">
        <v>0.14000000000000001</v>
      </c>
    </row>
    <row r="19" spans="1:5" x14ac:dyDescent="0.25">
      <c r="A19">
        <v>18</v>
      </c>
      <c r="B19" t="s">
        <v>25</v>
      </c>
      <c r="C19" s="1">
        <v>0.65</v>
      </c>
      <c r="D19" s="1">
        <v>0.23</v>
      </c>
      <c r="E19" s="1">
        <v>0.12</v>
      </c>
    </row>
    <row r="20" spans="1:5" x14ac:dyDescent="0.25">
      <c r="A20">
        <v>19</v>
      </c>
      <c r="B20" t="s">
        <v>26</v>
      </c>
      <c r="C20" s="1">
        <v>0.68</v>
      </c>
      <c r="D20" s="1">
        <v>0.19</v>
      </c>
      <c r="E20" s="1">
        <v>0.13</v>
      </c>
    </row>
    <row r="21" spans="1:5" x14ac:dyDescent="0.25">
      <c r="A21">
        <v>20</v>
      </c>
      <c r="B21" t="s">
        <v>27</v>
      </c>
      <c r="C21" s="1">
        <v>0.68</v>
      </c>
      <c r="D21" s="1">
        <v>0.19</v>
      </c>
      <c r="E21" s="1">
        <v>0.13</v>
      </c>
    </row>
    <row r="22" spans="1:5" x14ac:dyDescent="0.25">
      <c r="A22">
        <v>21</v>
      </c>
      <c r="B22" t="s">
        <v>28</v>
      </c>
      <c r="C22" s="1">
        <v>0.61</v>
      </c>
      <c r="D22" s="1">
        <v>0.24</v>
      </c>
      <c r="E22" s="1">
        <v>0.15</v>
      </c>
    </row>
    <row r="23" spans="1:5" x14ac:dyDescent="0.2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30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33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34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35</v>
      </c>
      <c r="C29" s="1">
        <v>0.69</v>
      </c>
      <c r="D29" s="1">
        <v>0.19</v>
      </c>
      <c r="E29" s="1">
        <v>0.12</v>
      </c>
    </row>
    <row r="30" spans="1:5" x14ac:dyDescent="0.2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37</v>
      </c>
      <c r="C31" s="1">
        <v>0.67</v>
      </c>
      <c r="D31" s="1">
        <v>0.19</v>
      </c>
      <c r="E31" s="1">
        <v>0.14000000000000001</v>
      </c>
    </row>
    <row r="32" spans="1:5" x14ac:dyDescent="0.25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39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41</v>
      </c>
      <c r="C35" s="1">
        <v>0.62</v>
      </c>
      <c r="D35" s="1">
        <v>0.24</v>
      </c>
      <c r="E35" s="1">
        <v>0.14000000000000001</v>
      </c>
    </row>
    <row r="36" spans="1:5" x14ac:dyDescent="0.2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45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46</v>
      </c>
      <c r="C40" s="1">
        <v>0.63</v>
      </c>
      <c r="D40" s="1">
        <v>0.22</v>
      </c>
      <c r="E40" s="1">
        <v>0.15</v>
      </c>
    </row>
    <row r="41" spans="1:5" x14ac:dyDescent="0.2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48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50</v>
      </c>
      <c r="C44" s="1">
        <v>0.66</v>
      </c>
      <c r="D44" s="1">
        <v>0.21</v>
      </c>
      <c r="E44" s="1">
        <v>0.13</v>
      </c>
    </row>
    <row r="45" spans="1:5" x14ac:dyDescent="0.25">
      <c r="A45">
        <v>44</v>
      </c>
      <c r="B45" t="s">
        <v>51</v>
      </c>
      <c r="C45" s="1">
        <v>0.67</v>
      </c>
      <c r="D45" s="1">
        <v>0.21</v>
      </c>
      <c r="E45" s="1">
        <v>0.12</v>
      </c>
    </row>
    <row r="46" spans="1:5" x14ac:dyDescent="0.2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56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544C840B-D7CB-46DD-ABF1-E2CBF72A9C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EE58-4F69-4E60-A4CC-8AF790A2A640}">
  <dimension ref="A1:AZ4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10.7109375" bestFit="1" customWidth="1"/>
  </cols>
  <sheetData>
    <row r="1" spans="1:52" x14ac:dyDescent="0.25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x14ac:dyDescent="0.25">
      <c r="A2" t="s">
        <v>2</v>
      </c>
      <c r="B2" s="1">
        <v>0.64</v>
      </c>
      <c r="C2" s="1">
        <v>0.72</v>
      </c>
      <c r="D2" s="1">
        <v>0.66</v>
      </c>
      <c r="E2" s="1">
        <v>0.69</v>
      </c>
      <c r="F2" s="1">
        <v>0.65</v>
      </c>
      <c r="G2" s="1">
        <v>0.68</v>
      </c>
      <c r="H2" s="1">
        <v>0.65</v>
      </c>
      <c r="I2" s="1">
        <v>0.64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0.64</v>
      </c>
      <c r="Q2" s="1">
        <v>0.68</v>
      </c>
      <c r="R2" s="1">
        <v>0.69</v>
      </c>
      <c r="S2" s="1">
        <v>0.65</v>
      </c>
      <c r="T2" s="1">
        <v>0.68</v>
      </c>
      <c r="U2" s="1">
        <v>0.68</v>
      </c>
      <c r="V2" s="1">
        <v>0.61</v>
      </c>
      <c r="W2" s="1">
        <v>0.62</v>
      </c>
      <c r="X2" s="1">
        <v>0.66</v>
      </c>
      <c r="Y2" s="1">
        <v>0.68</v>
      </c>
      <c r="Z2" s="1">
        <v>0.69</v>
      </c>
      <c r="AA2" s="1">
        <v>0.66</v>
      </c>
      <c r="AB2" s="1">
        <v>0.73</v>
      </c>
      <c r="AC2" s="1">
        <v>0.69</v>
      </c>
      <c r="AD2" s="1">
        <v>0.67</v>
      </c>
      <c r="AE2" s="1">
        <v>0.67</v>
      </c>
      <c r="AF2" s="1">
        <v>0.61</v>
      </c>
      <c r="AG2" s="1">
        <v>0.69</v>
      </c>
      <c r="AH2" s="1">
        <v>0.62</v>
      </c>
      <c r="AI2" s="1">
        <v>0.62</v>
      </c>
      <c r="AJ2" s="1">
        <v>0.69</v>
      </c>
      <c r="AK2" s="1">
        <v>0.65</v>
      </c>
      <c r="AL2" s="1">
        <v>0.69</v>
      </c>
      <c r="AM2" s="1">
        <v>0.69</v>
      </c>
      <c r="AN2" s="1">
        <v>0.63</v>
      </c>
      <c r="AO2" s="1">
        <v>0.63</v>
      </c>
      <c r="AP2" s="1">
        <v>0.65</v>
      </c>
      <c r="AQ2" s="1">
        <v>0.75</v>
      </c>
      <c r="AR2" s="1">
        <v>0.66</v>
      </c>
      <c r="AS2" s="1">
        <v>0.67</v>
      </c>
      <c r="AT2" s="1">
        <v>0.66</v>
      </c>
      <c r="AU2" s="1">
        <v>0.69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25">
      <c r="A3" t="s">
        <v>3</v>
      </c>
      <c r="B3" s="1">
        <v>0.24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0.21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0.23</v>
      </c>
      <c r="Q3" s="1">
        <v>0.19</v>
      </c>
      <c r="R3" s="1">
        <v>0.17</v>
      </c>
      <c r="S3" s="1">
        <v>0.23</v>
      </c>
      <c r="T3" s="1">
        <v>0.19</v>
      </c>
      <c r="U3" s="1">
        <v>0.19</v>
      </c>
      <c r="V3" s="1">
        <v>0.24</v>
      </c>
      <c r="W3" s="1">
        <v>0.21</v>
      </c>
      <c r="X3" s="1">
        <v>0.21</v>
      </c>
      <c r="Y3" s="1">
        <v>0.18</v>
      </c>
      <c r="Z3" s="1">
        <v>0.2</v>
      </c>
      <c r="AA3" s="1">
        <v>0.2</v>
      </c>
      <c r="AB3" s="1">
        <v>0.15</v>
      </c>
      <c r="AC3" s="1">
        <v>0.19</v>
      </c>
      <c r="AD3" s="1">
        <v>0.2</v>
      </c>
      <c r="AE3" s="1">
        <v>0.19</v>
      </c>
      <c r="AF3" s="1">
        <v>0.23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0.17</v>
      </c>
      <c r="AN3" s="1">
        <v>0.22</v>
      </c>
      <c r="AO3" s="1">
        <v>0.24</v>
      </c>
      <c r="AP3" s="1">
        <v>0.23</v>
      </c>
      <c r="AQ3" s="1">
        <v>0.14000000000000001</v>
      </c>
      <c r="AR3" s="1">
        <v>0.21</v>
      </c>
      <c r="AS3" s="1">
        <v>0.21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25">
      <c r="A4" t="s">
        <v>4</v>
      </c>
      <c r="B4" s="1">
        <v>0.12</v>
      </c>
      <c r="C4" s="1">
        <v>0.13</v>
      </c>
      <c r="D4" s="1">
        <v>0.13</v>
      </c>
      <c r="E4" s="1">
        <v>0.11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0.14000000000000001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862C-9CAA-44B2-A289-EE41F64427B5}">
  <dimension ref="A1:D26"/>
  <sheetViews>
    <sheetView tabSelected="1" workbookViewId="0">
      <selection activeCell="B18" sqref="B18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</cols>
  <sheetData>
    <row r="1" spans="1:4" x14ac:dyDescent="0.25">
      <c r="A1" t="s">
        <v>59</v>
      </c>
      <c r="B1" t="s">
        <v>60</v>
      </c>
      <c r="C1" t="s">
        <v>2</v>
      </c>
      <c r="D1" t="s">
        <v>3</v>
      </c>
    </row>
    <row r="2" spans="1:4" x14ac:dyDescent="0.25">
      <c r="A2" t="s">
        <v>55</v>
      </c>
      <c r="B2" t="s">
        <v>61</v>
      </c>
      <c r="C2" s="1">
        <f>VLOOKUP('sales region lookup'!A2, 'by search term'!B:C, 2, FALSE)</f>
        <v>0.68</v>
      </c>
      <c r="D2" s="1">
        <f>_xlfn.XLOOKUP(A2, 'by search term'!B1:B52, 'by search term'!D1:D52, "not found")</f>
        <v>0.18</v>
      </c>
    </row>
    <row r="3" spans="1:4" x14ac:dyDescent="0.25">
      <c r="A3" t="s">
        <v>45</v>
      </c>
      <c r="B3" t="s">
        <v>61</v>
      </c>
      <c r="C3" s="1">
        <f>VLOOKUP('sales region lookup'!A3, 'by search term'!B:C, 2, FALSE)</f>
        <v>0.69</v>
      </c>
      <c r="D3" s="1">
        <f>_xlfn.XLOOKUP(A3, 'by search term'!B2:B53, 'by search term'!D2:D53, "not found")</f>
        <v>0.17</v>
      </c>
    </row>
    <row r="4" spans="1:4" x14ac:dyDescent="0.25">
      <c r="A4" t="s">
        <v>20</v>
      </c>
      <c r="B4" t="s">
        <v>61</v>
      </c>
      <c r="C4" s="1">
        <f>VLOOKUP('sales region lookup'!A4, 'by search term'!B:C, 2, FALSE)</f>
        <v>0.68</v>
      </c>
      <c r="D4" s="1">
        <f>_xlfn.XLOOKUP(A4, 'by search term'!B3:B54, 'by search term'!D3:D54, "not found")</f>
        <v>0.19</v>
      </c>
    </row>
    <row r="5" spans="1:4" x14ac:dyDescent="0.25">
      <c r="A5" t="s">
        <v>34</v>
      </c>
      <c r="B5" t="s">
        <v>61</v>
      </c>
      <c r="C5" s="1">
        <f>VLOOKUP('sales region lookup'!A5, 'by search term'!B:C, 2, FALSE)</f>
        <v>0.73</v>
      </c>
      <c r="D5" s="1">
        <f>_xlfn.XLOOKUP(A5, 'by search term'!B4:B55, 'by search term'!D4:D55, "not found")</f>
        <v>0.15</v>
      </c>
    </row>
    <row r="6" spans="1:4" x14ac:dyDescent="0.25">
      <c r="A6" t="s">
        <v>42</v>
      </c>
      <c r="B6" t="s">
        <v>62</v>
      </c>
      <c r="C6" s="1">
        <f>VLOOKUP('sales region lookup'!A6, 'by search term'!B:C, 2, FALSE)</f>
        <v>0.69</v>
      </c>
      <c r="D6" s="1">
        <f>_xlfn.XLOOKUP(A6, 'by search term'!B5:B56, 'by search term'!D5:D56, "not found")</f>
        <v>0.19</v>
      </c>
    </row>
    <row r="7" spans="1:4" x14ac:dyDescent="0.25">
      <c r="A7" t="s">
        <v>49</v>
      </c>
      <c r="B7" t="s">
        <v>62</v>
      </c>
      <c r="C7" s="1">
        <f>VLOOKUP('sales region lookup'!A7, 'by search term'!B:C, 2, FALSE)</f>
        <v>0.75</v>
      </c>
      <c r="D7" s="1">
        <f>_xlfn.XLOOKUP(A7, 'by search term'!B6:B57, 'by search term'!D6:D57, "not found")</f>
        <v>0.14000000000000001</v>
      </c>
    </row>
    <row r="8" spans="1:4" x14ac:dyDescent="0.25">
      <c r="A8" t="s">
        <v>35</v>
      </c>
      <c r="B8" t="s">
        <v>62</v>
      </c>
      <c r="C8" s="1">
        <f>VLOOKUP('sales region lookup'!A8, 'by search term'!B:C, 2, FALSE)</f>
        <v>0.69</v>
      </c>
      <c r="D8" s="1">
        <f>_xlfn.XLOOKUP(A8, 'by search term'!B7:B58, 'by search term'!D7:D58, "not found")</f>
        <v>0.19</v>
      </c>
    </row>
    <row r="9" spans="1:4" x14ac:dyDescent="0.25">
      <c r="A9" t="s">
        <v>31</v>
      </c>
      <c r="B9" t="s">
        <v>62</v>
      </c>
      <c r="C9" s="1">
        <f>VLOOKUP('sales region lookup'!A9, 'by search term'!B:C, 2, FALSE)</f>
        <v>0.68</v>
      </c>
      <c r="D9" s="1">
        <f>_xlfn.XLOOKUP(A9, 'by search term'!B8:B59, 'by search term'!D8:D59, "not found")</f>
        <v>0.18</v>
      </c>
    </row>
    <row r="10" spans="1:4" x14ac:dyDescent="0.25">
      <c r="A10" t="s">
        <v>57</v>
      </c>
      <c r="B10" t="s">
        <v>62</v>
      </c>
      <c r="C10" s="1">
        <f>VLOOKUP('sales region lookup'!A10, 'by search term'!B:C, 2, FALSE)</f>
        <v>0.66</v>
      </c>
      <c r="D10" s="1">
        <f>_xlfn.XLOOKUP(A10, 'by search term'!B9:B60, 'by search term'!D9:D60, "not found")</f>
        <v>0.2</v>
      </c>
    </row>
    <row r="11" spans="1:4" x14ac:dyDescent="0.25">
      <c r="A11" t="s">
        <v>30</v>
      </c>
      <c r="B11" t="s">
        <v>62</v>
      </c>
      <c r="C11" s="1">
        <f>VLOOKUP('sales region lookup'!A11, 'by search term'!B:C, 2, FALSE)</f>
        <v>0.66</v>
      </c>
      <c r="D11" s="1">
        <f>_xlfn.XLOOKUP(A11, 'by search term'!B10:B61, 'by search term'!D10:D61, "not found")</f>
        <v>0.21</v>
      </c>
    </row>
    <row r="13" spans="1:4" x14ac:dyDescent="0.25">
      <c r="A13" s="4" t="s">
        <v>60</v>
      </c>
      <c r="B13" t="s">
        <v>67</v>
      </c>
    </row>
    <row r="15" spans="1:4" x14ac:dyDescent="0.25">
      <c r="A15" s="4" t="s">
        <v>63</v>
      </c>
      <c r="B15" t="s">
        <v>65</v>
      </c>
      <c r="C15" t="s">
        <v>66</v>
      </c>
    </row>
    <row r="16" spans="1:4" x14ac:dyDescent="0.25">
      <c r="A16" s="5" t="s">
        <v>20</v>
      </c>
      <c r="B16" s="6">
        <v>0.68</v>
      </c>
      <c r="C16" s="6">
        <v>0.19</v>
      </c>
    </row>
    <row r="17" spans="1:3" x14ac:dyDescent="0.25">
      <c r="A17" s="5" t="s">
        <v>30</v>
      </c>
      <c r="B17" s="6">
        <v>0.66</v>
      </c>
      <c r="C17" s="6">
        <v>0.21</v>
      </c>
    </row>
    <row r="18" spans="1:3" x14ac:dyDescent="0.25">
      <c r="A18" s="5" t="s">
        <v>31</v>
      </c>
      <c r="B18" s="6">
        <v>0.68</v>
      </c>
      <c r="C18" s="6">
        <v>0.18</v>
      </c>
    </row>
    <row r="19" spans="1:3" x14ac:dyDescent="0.25">
      <c r="A19" s="5" t="s">
        <v>34</v>
      </c>
      <c r="B19" s="6">
        <v>0.73</v>
      </c>
      <c r="C19" s="6">
        <v>0.15</v>
      </c>
    </row>
    <row r="20" spans="1:3" x14ac:dyDescent="0.25">
      <c r="A20" s="5" t="s">
        <v>35</v>
      </c>
      <c r="B20" s="6">
        <v>0.69</v>
      </c>
      <c r="C20" s="6">
        <v>0.19</v>
      </c>
    </row>
    <row r="21" spans="1:3" x14ac:dyDescent="0.25">
      <c r="A21" s="5" t="s">
        <v>42</v>
      </c>
      <c r="B21" s="6">
        <v>0.69</v>
      </c>
      <c r="C21" s="6">
        <v>0.19</v>
      </c>
    </row>
    <row r="22" spans="1:3" x14ac:dyDescent="0.25">
      <c r="A22" s="5" t="s">
        <v>45</v>
      </c>
      <c r="B22" s="6">
        <v>0.69</v>
      </c>
      <c r="C22" s="6">
        <v>0.17</v>
      </c>
    </row>
    <row r="23" spans="1:3" x14ac:dyDescent="0.25">
      <c r="A23" s="5" t="s">
        <v>49</v>
      </c>
      <c r="B23" s="6">
        <v>0.75</v>
      </c>
      <c r="C23" s="6">
        <v>0.14000000000000001</v>
      </c>
    </row>
    <row r="24" spans="1:3" x14ac:dyDescent="0.25">
      <c r="A24" s="5" t="s">
        <v>55</v>
      </c>
      <c r="B24" s="6">
        <v>0.68</v>
      </c>
      <c r="C24" s="6">
        <v>0.18</v>
      </c>
    </row>
    <row r="25" spans="1:3" x14ac:dyDescent="0.25">
      <c r="A25" s="5" t="s">
        <v>57</v>
      </c>
      <c r="B25" s="6">
        <v>0.66</v>
      </c>
      <c r="C25" s="6">
        <v>0.2</v>
      </c>
    </row>
    <row r="26" spans="1:3" x14ac:dyDescent="0.25">
      <c r="A26" s="5" t="s">
        <v>64</v>
      </c>
      <c r="B26" s="6">
        <v>6.91</v>
      </c>
      <c r="C26" s="6">
        <v>1.7999999999999998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Cerda</dc:creator>
  <cp:keywords/>
  <dc:description/>
  <cp:lastModifiedBy>José Cerda</cp:lastModifiedBy>
  <cp:revision/>
  <dcterms:created xsi:type="dcterms:W3CDTF">2026-10-14T22:00:34Z</dcterms:created>
  <dcterms:modified xsi:type="dcterms:W3CDTF">2026-10-16T03:32:36Z</dcterms:modified>
  <cp:category/>
  <cp:contentStatus/>
</cp:coreProperties>
</file>