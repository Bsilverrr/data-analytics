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AC94C82F-6392-4CB9-A875-063C6FC9105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6" i="1"/>
  <c r="E2" i="1"/>
  <c r="E5" i="1"/>
  <c r="E4" i="1"/>
  <c r="E3" i="1"/>
</calcChain>
</file>

<file path=xl/sharedStrings.xml><?xml version="1.0" encoding="utf-8"?>
<sst xmlns="http://schemas.openxmlformats.org/spreadsheetml/2006/main" count="26" uniqueCount="26">
  <si>
    <t>Store</t>
  </si>
  <si>
    <t>Monthly Sales</t>
  </si>
  <si>
    <t>Statistic</t>
  </si>
  <si>
    <t>Value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</si>
  <si>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</si>
  <si>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</si>
  <si>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</si>
  <si>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</si>
  <si>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</si>
  <si>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</si>
  <si>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</si>
  <si>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</si>
  <si>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</si>
  <si>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Std Dev (All stores)</t>
  </si>
  <si>
    <t>Store F</t>
  </si>
  <si>
    <t>Std Dev(No Store H)</t>
  </si>
  <si>
    <t>Store G</t>
  </si>
  <si>
    <t>Store H</t>
  </si>
  <si>
    <t xml:space="preserve">Store I </t>
  </si>
  <si>
    <t>Store J</t>
  </si>
  <si>
    <t>Store K</t>
  </si>
  <si>
    <t>Store L</t>
  </si>
  <si>
    <t>a) the overall average performance across all stores was 49.42. However, the median of 47.5 better represents a typical store, becuase store H brings the mean up.</t>
  </si>
  <si>
    <t>b)The outcome of my report outlines that store performance is tightly group with the exception of Store H.Excluding store h, sales ranged from 43 to 52.</t>
  </si>
  <si>
    <t>c) One Value (being store H) significantly influenced the results. The st dev with store H was 7.63. Without it was a 2.91 st dev.</t>
  </si>
  <si>
    <t>d) To explain Store H's performance, I would want to know its size and location, whether a one time event like a promotion boosted its sales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</si>
</sst>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4" sqref="F14"/>
    </sheetView>
  </sheetViews>
  <sheetFormatPr defaultRowHeight="15"/>
  <cols>
    <col min="2" max="2" width="13.5703125" bestFit="1" customWidth="1"/>
    <col min="4" max="4" width="18.85546875" bestFit="1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t="s">
        <v>4</v>
      </c>
      <c r="B2">
        <v>51</v>
      </c>
      <c r="D2" t="s">
        <v>5</v>
      </c>
      <c r="E2" s="2">
        <f>AVERAGE(B2:B13)</f>
        <v>49.416666666666664</v>
      </c>
    </row>
    <row r="3" spans="1:5">
      <c r="A3" t="s">
        <v>6</v>
      </c>
      <c r="B3">
        <v>44</v>
      </c>
      <c r="D3" t="s">
        <v>7</v>
      </c>
      <c r="E3">
        <f>MEDIAN(B2:B13)</f>
        <v>47.5</v>
      </c>
    </row>
    <row r="4" spans="1:5">
      <c r="A4" t="s">
        <v>8</v>
      </c>
      <c r="B4">
        <v>49</v>
      </c>
      <c r="D4" t="s">
        <v>9</v>
      </c>
      <c r="E4">
        <f>MODE(B2:B13)</f>
        <v>46</v>
      </c>
    </row>
    <row r="5" spans="1:5">
      <c r="A5" s="1" t="s">
        <v>10</v>
      </c>
      <c r="B5">
        <v>46</v>
      </c>
      <c r="D5" t="s">
        <v>11</v>
      </c>
      <c r="E5">
        <f>MAX(B2:B13)-MIN(B2:B13)</f>
        <v>29</v>
      </c>
    </row>
    <row r="6" spans="1:5">
      <c r="A6" t="s">
        <v>12</v>
      </c>
      <c r="B6">
        <v>52</v>
      </c>
      <c r="D6" t="s">
        <v>13</v>
      </c>
      <c r="E6" s="2">
        <f>_xlfn.STDEV.S(B2:B13)</f>
        <v>7.6331613054586773</v>
      </c>
    </row>
    <row r="7" spans="1:5">
      <c r="A7" s="1" t="s">
        <v>14</v>
      </c>
      <c r="B7">
        <v>47</v>
      </c>
      <c r="D7" t="s">
        <v>15</v>
      </c>
      <c r="E7" s="2">
        <f>_xlfn.STDEV.S(B2:B8,B10:B13)</f>
        <v>2.9076701075853588</v>
      </c>
    </row>
    <row r="8" spans="1:5">
      <c r="A8" t="s">
        <v>16</v>
      </c>
      <c r="B8">
        <v>45</v>
      </c>
    </row>
    <row r="9" spans="1:5">
      <c r="A9" t="s">
        <v>17</v>
      </c>
      <c r="B9">
        <v>72</v>
      </c>
    </row>
    <row r="10" spans="1:5">
      <c r="A10" t="s">
        <v>18</v>
      </c>
      <c r="B10">
        <v>43</v>
      </c>
    </row>
    <row r="11" spans="1:5">
      <c r="A11" t="s">
        <v>19</v>
      </c>
      <c r="B11">
        <v>48</v>
      </c>
    </row>
    <row r="12" spans="1:5">
      <c r="A12" t="s">
        <v>20</v>
      </c>
      <c r="B12">
        <v>46</v>
      </c>
    </row>
    <row r="13" spans="1:5">
      <c r="A13" t="s">
        <v>21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2C6-7554-455F-959B-62FE34A141EB}">
  <dimension ref="A1:A4"/>
  <sheetViews>
    <sheetView tabSelected="1" workbookViewId="0">
      <selection sqref="A1:A1048576"/>
    </sheetView>
  </sheetViews>
  <sheetFormatPr defaultRowHeight="15"/>
  <cols>
    <col min="1" max="1" width="147.7109375" bestFit="1" customWidth="1"/>
  </cols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2026-10-03T04:55:33Z</dcterms:created>
  <dcterms:modified xsi:type="dcterms:W3CDTF">2026-10-03T05:24:43Z</dcterms:modified>
  <cp:category/>
  <cp:contentStatus/>
</cp:coreProperties>
</file>